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880"/>
  </bookViews>
  <sheets>
    <sheet name="评分说明" sheetId="1" r:id="rId1"/>
    <sheet name="待评文本样本" sheetId="2" r:id="rId2"/>
    <sheet name="文本评分表" sheetId="3" r:id="rId3"/>
  </sheets>
  <definedNames>
    <definedName name="_xlnm._FilterDatabase" localSheetId="1" hidden="1">待评文本样本!$A$1:$K$11</definedName>
    <definedName name="_xlnm._FilterDatabase" localSheetId="2" hidden="1">文本评分表!$A$1:$R$11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<sst xmlns="http://schemas.openxmlformats.org/spreadsheetml/2006/main" count="196" uniqueCount="122">
  <si>
    <t>文本一致性人工评分说明</t>
  </si>
  <si>
    <t>本表用途</t>
  </si>
  <si>
    <t>评估剧情文本是否连贯。</t>
  </si>
  <si>
    <t>评测员不需要懂模型或代码，只需要按阅读感受和文本证据评分。</t>
  </si>
  <si>
    <t/>
  </si>
  <si>
    <t>5 分</t>
  </si>
  <si>
    <t>完美连贯。</t>
  </si>
  <si>
    <t>角色行为一致，场景切换自然，情节有因果关系，整体有完整主线。</t>
  </si>
  <si>
    <t>4 分</t>
  </si>
  <si>
    <t>较好连贯。</t>
  </si>
  <si>
    <t>有轻微逻辑瑕疵，但不影响整体理解。</t>
  </si>
  <si>
    <t>3 分</t>
  </si>
  <si>
    <t>基本连贯。</t>
  </si>
  <si>
    <t>有明显情节跳跃，但能勉强看出主线。</t>
  </si>
  <si>
    <t>2 分</t>
  </si>
  <si>
    <t>较差连贯。</t>
  </si>
  <si>
    <t>角色/场景频繁突变，逻辑混乱，难以理解。</t>
  </si>
  <si>
    <t>1 分</t>
  </si>
  <si>
    <t>完全不连贯。</t>
  </si>
  <si>
    <t>句子之间毫无关联，无法形成故事。</t>
  </si>
  <si>
    <t>严格规则</t>
  </si>
  <si>
    <t>身份/目标/时间/因果矛盾未解释，不能给 5 分。</t>
  </si>
  <si>
    <t>需要大量脑补关键因果，最高给 4 分；主线可懂但跳跃明显，通常给 3 分；中途像换故事，给 1 或 2 分。</t>
  </si>
  <si>
    <t>非 5 分必须填写具体理由。</t>
  </si>
  <si>
    <t>confidence（置信度）</t>
  </si>
  <si>
    <t>1.0：非常确定</t>
  </si>
  <si>
    <t>0.8：比较确定；0.6：有一定不确定；0.4 或更低：证据不足或很难判断。</t>
  </si>
  <si>
    <t>问题标签提示</t>
  </si>
  <si>
    <t>identity_conflict, goal_drift, causal_gap, time_order_error, scene_jump, unresolved_thread, incoherent_story</t>
  </si>
  <si>
    <t>可多选，用英文逗号分隔。</t>
  </si>
  <si>
    <t>样本编号</t>
  </si>
  <si>
    <t>主题/背景摘要</t>
  </si>
  <si>
    <t>剧情文本</t>
  </si>
  <si>
    <t>评测提示</t>
  </si>
  <si>
    <t>是否为校准样本</t>
  </si>
  <si>
    <t>sample_id</t>
  </si>
  <si>
    <t>game_id</t>
  </si>
  <si>
    <t>theme_item_id</t>
  </si>
  <si>
    <t>source_path</t>
  </si>
  <si>
    <t>config_name_or_group</t>
  </si>
  <si>
    <t>text_context_path</t>
  </si>
  <si>
    <t>TEXT_0001</t>
  </si>
  <si>
    <t>【片段 1】 深秋的黄昏，玉门驿笼罩在一片萧瑟的金黄中。我站在驿站大门前，手中紧握着父亲留下的那枚铜制印信，上面"玉门驿丞"四个字在夕阳下泛着暗淡的光。</t>
  </si>
  <si>
    <t>【片段 1】
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
【片段 2】
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
【片段 3】
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</si>
  <si>
    <t>请只根据剧情文本判断：角色身份、核心目标、时间顺序、场景转换和因果链是否连贯。非 5 分必须写具体证据。</t>
  </si>
  <si>
    <t>是</t>
  </si>
  <si>
    <t>game_1776417898_zthbu3</t>
  </si>
  <si>
    <t>C:\Users\User\Desktop\DN-main\DN-experiment-2.0\theme_001_game_1776417898_zthbu3</t>
  </si>
  <si>
    <t>C:\Users\User\Desktop\DN-main\DN-experiment-2.0\theme_001_game_1776417898_zthbu3\game_1776417898_zthbu3_001.json;C:\Users\User\Desktop\DN-main\DN-experiment-2.0\theme_001_game_1776417898_zthbu3\game_1776417898_zthbu3_002.json;C:\Users\User\Desktop\DN-main\DN-experiment-2.0\theme_001_game_1776417898_zthbu3\game_1776417898_zthbu3_003.json</t>
  </si>
  <si>
    <t>TEXT_0002</t>
  </si>
  <si>
    <t>【片段 1】 刺耳的警报声撕裂了月球基地的宁静，红色应急灯光在走廊中疯狂闪烁。我猛地从办公桌前起身，手中的地质分析报告散落一地那些密密麻麻的数据此刻显得如此讽刺，因为最担心的事情还是发生了。</t>
  </si>
  <si>
    <t>【片段 1】
刺耳的警报声撕裂了月球基地的宁静，红色应急灯光在走廊中疯狂闪烁。我猛地从办公桌前起身，手中的地质分析报告散落一地那些密密麻麻的数据此刻显得如此讽刺，因为最担心的事情还是发生了。
"林工程师！林工程师！"通讯器里传来控制中心值班员小陈颤抖的声音，"D7采矿区发生大规模坍塌！至少有30多人被困在里面！"
我的心脏重重一沉。D7区，那是我三个月前就标记为高风险的区域，但因为那里的氦3储量丰富，管理层一直推迟加固工程。现在，最坏的预测变成了现实。
快步冲出办公室，走廊里已经乱成一团。几名矿工家属聚集在控制中心门口，有人在哭泣，有人在大声质问。透过厚重的钢化玻璃，我能看到控制中心内部的巨大显示屏上，D7区的监控画面已经变成了一片雪花。
"情况怎么样？"我推开控制中心的门，沉声问道。
值班主管王海涛转过身，脸色苍白："十五分钟前，D7区主支撑梁发生断裂，引发连锁坍塌。根据最后的人员定位信号，有32人在事故发生时还在区域内。现在所有通讯都中断了，我们不知道里面的具体情况。"
我走到中央控制台前，快速调出D7区的结构图。密密麻麻的红色警告标记让我的心情更加沉重氧气管道受损、通风系统瘫痪、主要逃生通道被堵塞。如果被困人员还活着，他们的氧气最多只能维持48小时。
"救援设备准备情况如何？"我问道，手指在触摸屏上快速滑动，分析着可能的救援路线。
"重型挖掘机器人已经就位，但是"王海涛犹豫了一下，"地质雷达显示，整个D7区的结构都不稳定。如果我们贸然进入，可能会引发二次坍塌。"
这就是我最担心的情况。作为首席安全工程师，我必须在救援速度和安全风险之间做出选择。每一分钟的延迟都可能意味着生命的流逝，但一个错误的决定可能让更多人陷入危险。
通讯器再次响起，这次是基地指挥官陈明华的声音："林远征，我需要你在一小时内制定出救援方案。地球总部已经得到消息，他们要求我们必须确保不能有更多伤亡。"
我深吸一口气，看着眼前复杂的地质结构图。十五年的地下作业经验告诉我，这将是一场与时间的赛跑，也是对我职业生涯最严峻的考验。被困的32个人中，有我认识的老同事，有刚来基地不久的年轻矿工，还有即将轮换回地球与家人团聚的老员工。
他们的生命，现在全部掌握在我的决策中。
【片段 2】
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
【片段 3】
随着我的命令下达，三台重型挖掘机器人开始全力作业。巨大的机械臂在月球低重力环境下显得笨重但有力，每一次撞击都让整个D7区域震动不已。我紧盯着监控屏幕，看着碎石和金属残骸被一点点清理出来。
突然，地质监测仪发出刺耳的警报声。"林工！"王海涛的声音带着明显的恐慌，"震动频率超过了安全阈值，西侧支撑结构出现了微裂纹！"
我快步走到监测台前，看着不断跳动的数据。红色的警告标识在屏幕上闪烁，显示着危险正在逐步升级。但就在这时，通讯器里传来了一个微弱但清晰的声音："这里是D73工作面，有人能听到吗？我们这里有十二个人，其中三人受伤严重！"
整个控制中心瞬间安静下来。这是我们第一次收到被困人员的直接通讯！我立即抓起话筒："这里是救援指挥中心，我是林远征。请保持冷静，我们正在全力救援。你们的氧气储备还能维持多久？"
"大概还有四个小时，但李师傅伤得很重，需要立即医疗救助。"对方的声音有些颤抖，但依然保持着基本的冷静。
老张从现场传来报告："林工，按照目前的进度，我们还需要至少三个小时才能打通通道。但如果继续这样挖掘，西侧的裂纹可能会扩大。"
我看着面前复杂的监控数据，心中权衡着各种可能性。每一个决定都可能关系到十二个人的生死，而时间正在一分一秒地流逝。</t>
  </si>
  <si>
    <t>否</t>
  </si>
  <si>
    <t>game_1776418186_406ktb</t>
  </si>
  <si>
    <t>C:\Users\User\Desktop\DN-main\DN-experiment-2.0\theme_002_game_1776418186_406ktb</t>
  </si>
  <si>
    <t>C:\Users\User\Desktop\DN-main\DN-experiment-2.0\theme_002_game_1776418186_406ktb\game_1776418186_406ktb_001.json;C:\Users\User\Desktop\DN-main\DN-experiment-2.0\theme_002_game_1776418186_406ktb\game_1776418186_406ktb_002.json;C:\Users\User\Desktop\DN-main\DN-experiment-2.0\theme_002_game_1776418186_406ktb\game_1776418186_406ktb_003.json</t>
  </si>
  <si>
    <t>TEXT_0003</t>
  </si>
  <si>
    <t>【片段 1】 细雨如丝，打湿了青石板路。我拖着沉重的行李箱，踏进了清河镇的石牌坊。师父留下的那把折扇在怀中轻颤，仿佛在提醒我这里，就是我要重新开始的地方。</t>
  </si>
  <si>
    <t>【片段 1】
细雨如丝，打湿了青石板路。我拖着沉重的行李箱，踏进了清河镇的石牌坊。师父留下的那把折扇在怀中轻颤，仿佛在提醒我这里，就是我要重新开始的地方。
街道两旁的建筑透着岁月的痕迹，白墙黛瓦间夹杂着几处西式洋房，新旧交融得有些突兀。空气中弥漫着淡淡的茶香和烟火气，远处传来叮叮当当的铜锣声，似乎有戏班在演出。我深吸一口气，雨水的清冽混合着陌生土地的气息，让我既紧张又期待。
"这位先生，是外地来的吧？"一个苍老的声音在身后响起。我回头，看见一位白发老者撑着油纸伞，正打量着我。他的眼神很犀利，像是能看透人心。
"是的，老丈。"我整理了一下青布长衫，礼貌地回答，"在下陈书云，是个说书的。"
老者的眼中闪过一丝意外，随即露出了玩味的笑容："说书的？有趣。这清河镇可是有好几家茶肆呢，听雨轩、时新茶社、聚贤堂，各有各的门道。不过"他顿了顿，"现在这年头，说书人的日子可不好过啊。"
我心中一沉。师父临终前的话还在耳边回响："书云，去清河镇吧，那里还有人记得我们这一行的好。"可眼前这位老者的话，却让我感到了前所未有的压力。
雨越下越大，我需要尽快找个落脚的地方。师父留下的那点盘缠不多，必须精打细算。而更重要的是，我需要了解这个镇子的情况，找到属于自己的位置。
【片段 2】
"三家茶肆？"我连忙追问，"老丈，能否详细说说它们的情况？"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
【片段 3】
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</si>
  <si>
    <t>game_1776418475_uho8y4</t>
  </si>
  <si>
    <t>C:\Users\User\Desktop\DN-main\DN-experiment-2.0\theme_003_game_1776418475_uho8y4</t>
  </si>
  <si>
    <t>C:\Users\User\Desktop\DN-main\DN-experiment-2.0\theme_003_game_1776418475_uho8y4\game_1776418475_uho8y4_001.json;C:\Users\User\Desktop\DN-main\DN-experiment-2.0\theme_003_game_1776418475_uho8y4\game_1776418475_uho8y4_002.json;C:\Users\User\Desktop\DN-main\DN-experiment-2.0\theme_003_game_1776418475_uho8y4\game_1776418475_uho8y4_003.json</t>
  </si>
  <si>
    <t>TEXT_0004</t>
  </si>
  <si>
    <t>【片段 1】 凌晨四点三十分，刺耳的警报声撕裂了临港市海洋监测中心的寂静。</t>
  </si>
  <si>
    <t>【片段 1】
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"怎么回事？"我一边穿上海洋中心的深蓝色工作服，一边冲向主控室。走廊里的应急照明灯投下诡异的光影，我的脚步声在空旷的建筑里回荡。手上还残留着昨晚维修设备时沾上的机油污渍，来不及清洗。
推开主控室的门，眼前的景象让我倒吸一口冷气。十二块巨大的监控屏幕中，有七块显示着刺眼的红色"信号中断"字样。最中央的那块屏幕上，"深蓝七号信标"的标识正在无规律地闪烁，数据流显示为零。
"林海潮，你来得正好。"值班主管老陈从椅子上转过身，他的脸色比我见过的任何时候都要凝重。"深蓝七号彻底失联了，连备用通讯频道都没有响应。更糟糕的是，附近海域的其他六个信标也开始出现异常。"
我快步走到主控台前，手指在键盘上飞快敲击。海水温度、洋流数据、气压变化所有参数都在正常范围内，但深蓝七号所在的那片海域，现在就像一个巨大的黑洞，吞噬了所有信息。
"什么时候开始的？"我问道，眼睛紧盯着屏幕上跳动的数据。
"三小时前，先是数据传输出现间歇性中断，然后就完全失联了。"老陈递给我一杯还冒着热气的咖啡，"渔业协会那边已经打了十几个电话，说有三艘渔船在那片海域作业，现在联系不上。海事局也在催我们尽快恢复信号。"
我端起咖啡，苦涩的液体让我的大脑稍微清醒了一些。深蓝七号信标负责监控东海最重要的渔场之一，那里不仅有丰富的渔业资源，还是国际航线的必经之路。一旦失去监控，后果不堪设想。
"有没有可能是海底地震？"我一边查看地质监测数据，一边问道。
"地震监测网没有异常报告。"老陈摇摇头，"而且如果是地震，其他信标也应该有反应。现在看来，问题就出在深蓝七号本身。"
我凝视着屏幕上那个不断闪烁的红点，心中涌起一种说不出的不安。深蓝七号是三年前我亲手参与安装的，那套设备的每一个螺丝我都了如指掌。按理说，即使遭遇恶劣海况，也不应该出现如此彻底的信号中断。
"林海潮，"老陈的声音打断了我的思考，"上面已经下了死命令，必须在七十二小时内恢复深蓝七号的正常运行。这个任务，只能交给你了。"
我深深吸了一口气，手指轻抚着键盘。三年的海洋工程经验告诉我，这绝不是一次简单的设备故障。但无论如何，我都必须找出真相。
【片段 2】
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
【片段 3】
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</si>
  <si>
    <t>game_1776418746_kox2ae</t>
  </si>
  <si>
    <t>C:\Users\User\Desktop\DN-main\DN-experiment-2.0\theme_004_game_1776418746_kox2ae</t>
  </si>
  <si>
    <t>C:\Users\User\Desktop\DN-main\DN-experiment-2.0\theme_004_game_1776418746_kox2ae\game_1776418746_kox2ae_001.json;C:\Users\User\Desktop\DN-main\DN-experiment-2.0\theme_004_game_1776418746_kox2ae\game_1776418746_kox2ae_002.json;C:\Users\User\Desktop\DN-main\DN-experiment-2.0\theme_004_game_1776418746_kox2ae\game_1776418746_kox2ae_003.json</t>
  </si>
  <si>
    <t>TEXT_0005</t>
  </si>
  <si>
    <t>【片段 1】 凌晨三点，圣艾琳娜魔法学院的宿舍楼里依然灯火通明。</t>
  </si>
  <si>
    <t>【片段 1】
凌晨三点，圣艾琳娜魔法学院的宿舍楼里依然灯火通明。
我猛地从桌案上抬起头，眼镜片上映着魔法理论教材的密密麻麻文字，太阳穴传来阵阵钝痛。手腕上的魔力感应手环正闪烁着微弱的蓝光，提醒着我体内魔力的不稳定状态。期末周的第一天就这样悄无声息地到来了，而我却发现自己在最关键的魔法构式理论上严重落后。
"该死的共鸣感知"我揉着太阳穴低声抱怨。这项所谓的"天赋"让我在人群中总是不由自主地感受到他人的情绪波动，尤其是在这种高压环境下，整栋宿舍楼里弥漫着的焦虑、恐惧和绝望几乎要将我淹没。
隔壁床铺传来压抑的啜泣声。我的室友苏雨薇正蜷缩在被子里，她刚刚结束了一段维持两年的恋情，而男友选择在期末周前一天提出分手。通过共鸣感知，我能清晰地感受到她内心的痛苦如潮水般汹涌，那种被撕裂的感觉让我的胸口也隐隐作痛。
"晚星，你还在复习吗？"苏雨薇的声音带着鼻音，"我我真的看不进去书，脑子里全是他的话。"
我转过身看着她红肿的眼睛，心中涌起复杂的情绪。明天就是魔法理论的考试，我自己都还有三章内容没有掌握，但室友的痛苦通过共鸣感知不断冲击着我的意识，让我根本无法专心。
窗外的校园里，其他宿舍楼的窗户也大多还亮着灯。整个学院都笼罩在期末周的紧张氛围中，空气中似乎都弥漫着魔力的不稳定波动和学生们的集体焦虑。
我的手机屏幕亮起，显示着一条未读消息。发送者是我的初恋对象同班同学陈墨轩。消息内容很简单："晚星，明天考试加油。"但通过之前的接触，我隐约感觉到他最近对我的态度有些疏远，这让本就紧张的心情更加复杂。
魔法理论教材摊开在桌上，第十二章《高阶构式的稳定性分析》的内容对我来说依然如天书般晦涩。时间在流逝，而我必须在帮助室友和专注学业之间做出选择。
【片段 2】
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
【片段 3】
我看着苏雨薇红肿的眼睛，心中涌起一阵坚定。"雨薇，我有个提议。"我轻轻握住她的手，"我们一起复习吧，互相帮助度过这个难关。"
苏雨薇愣了一下，眼中闪过一丝惊讶。"可是晚星，你自己的复习任务也很重啊。我不想拖累你。"
"不会的。"我摇摇头，通过共鸣感知，我能感受到她内心深处那一丝希望正在萌芽，"其实我在魔法理论上也有很多不懂的地方。你的基础比我扎实，我们可以互补。而且，"我顿了顿，"有时候教别人反而能帮助自己更好地理解知识点。"
苏雨薇用纸巾擦了擦眼泪，声音还带着鼻音："真的吗？可是我的魔力等级那么低，理论课也总是勉强及格。"
"魔力等级不代表理论理解能力。"我起身走到书桌前，拿起她的笔记本翻了翻，"你看，你的笔记记得这么详细，连我都没注意到的细节你都标注了。这说明你很用心，只是缺少信心而已。"
确实，苏雨薇的笔记工整细致，各种颜色的标记清晰地标出了重点难点，比我那本潦草的笔记要好太多。
"那我们从哪里开始？"苏雨薇坐起身来，眼中的绝望开始被一丝希望替代。
我看了看时间，已经快十一点了。"明天上午就是魔法理论考试，我们先把最基础的魔力循环原理过一遍吧。我的共鸣感知在这方面有优势，可以帮你理解不同魔法流派的能量特征。"
就在这时，我的手机又响了一下。陈墨轩发来第三条消息："宿舍楼下有夜宵摊，要不要一起吃点东西？复习也要注意身体。"这次的消息让我感到更加不安，仿佛他在刻意关注着我们的动向。
苏雨薇注意到我的表情变化："怎么了？"
"没什么，就是有同学发消息。"我收起手机，"我们开始吧。先从第三章的基础理论开始，你觉得哪个部分最难理解？"</t>
  </si>
  <si>
    <t>game_1776419026_gflx4b</t>
  </si>
  <si>
    <t>C:\Users\User\Desktop\DN-main\DN-experiment-2.0\theme_005_game_1776419026_gflx4b</t>
  </si>
  <si>
    <t>C:\Users\User\Desktop\DN-main\DN-experiment-2.0\theme_005_game_1776419026_gflx4b\game_1776419026_gflx4b_001.json;C:\Users\User\Desktop\DN-main\DN-experiment-2.0\theme_005_game_1776419026_gflx4b\game_1776419026_gflx4b_002.json;C:\Users\User\Desktop\DN-main\DN-experiment-2.0\theme_005_game_1776419026_gflx4b\game_1776419026_gflx4b_003.json</t>
  </si>
  <si>
    <t>TEXT_0006</t>
  </si>
  <si>
    <t>【片段 1】 年深秋的上海，梧桐叶正黄。我推开电报局二楼技术部的木门，熟悉的滴答声立刻涌入耳中那是莫尔斯电码敲击的节拍，平日里如音乐般规律，今天却显得格外刺耳。</t>
  </si>
  <si>
    <t>【片段 1】
年深秋的上海，梧桐叶正黄。我推开电报局二楼技术部的木门，熟悉的滴答声立刻涌入耳中那是莫尔斯电码敲击的节拍，平日里如音乐般规律，今天却显得格外刺耳。
"林致远，你来得正好。"主管陈德昌从办公桌后抬起头，镜片后的眼神透着焦虑，"昨夜又出事了，这次是怡和洋行的一笔大单，五万大洋的茶叶订单，电报内容被人篡改了。"
我调整了一下黑框眼镜，走向自己的工作台。桌上堆满了电报纸条，有些边缘已经泛黄，有些还散发着刚从电报机上撕下的墨水味。"这已经是本月第四起了。"我翻看着记录，心中的不安越来越重，"篡改手法很专业，不是普通的恶作剧。"
"上头催得紧，租界工部局那边也在施压。"陈德昌站起身，走到窗边，"你是我们这里最好的技术员，这事只能靠你了。但是"他停顿了一下，声音压低，"查是要查，但别查得太深，明白我的意思吗？"
我的手指在电报纸上停住了。窗外传来黄包车夫的吆喝声，混杂着汽车的喇叭声，这座城市依然繁忙如常，可我却感到一阵莫名的寒意。陈主管的话里有话，而这些被篡改的电报背后，似乎隐藏着比技术故障更复杂的东西。
"林先生，您看这个。"年轻的报务员小王走过来，递给我一张刚收到的电报，"发送方是德昌洋行，但接收方说从未收到过这样的内容。"
我接过电报，仔细端详着上面的字符。表面上看是普通的商业往来，但其中几个词汇的用法很奇怪，像是在传递某种暗号。我的心跳加快了，这不仅仅是简单的篡改案，更像是有人在利用电报系统进行某种秘密通讯。
【片段 2】
我将这份可疑电报平铺在桌案上，取出放大镜仔细端详每一个字符。在昏黄的煤油灯光下，电报纸上的墨迹显得格外清晰。我从抽屉里拿出密码分析用的格纸和铅笔，开始逐字记录电报内容。
"德昌洋行致远东贸易公司：茶叶三千箱，单价十二元，月底交货，望速回复。"表面看来是再普通不过的商业往来，但我敏锐地察觉到几处异常。首先是"茶叶三千箱"这个数量，按照常规贸易习惯，应该用"担"或"磅"作单位，而不是"箱"。其次，"单价十二元"的表述也很奇怪，正常情况下会标明具体的货币种类。
我在格纸上画出字符频率分析表，将每个汉字按照出现频率排列。很快，一个规律浮现出来：某些看似无关紧要的字符，如"望"、"速"、"回"，在电报中的位置呈现出特定的间隔模式。我用铅笔在纸上连线，发现这些字符的位置间隔分别是3、5、7，这是一个质数序列。
"这不是巧合。"我轻声自语，推了推眼镜。质数序列在密码学中是常用的加密手段，而且这种手法需要发送双方事先约定好密钥。我继续分析，发现如果按照质数间隔提取字符，会得到"望速回三十"这样的组合。
正当我沉浸在分析中时，办公室的门被轻轻推开了。小王探头进来，神情有些紧张："林先生，刚才有个穿长衫的中年人来找您，说是德昌洋行的账房先生。我告诉他您在忙，他留下了这个。"小王递给我一张名片，上面写着"德昌洋行 账房 王德贵"。
我接过名片，心中一紧。德昌洋行的人主动找上门来，这绝不是巧合。要么是他们察觉到了什么，要么就是想要试探我的调查进度。我看了看墙上的挂钟，已经是下午三点，外面的秋日阳光透过百叶窗洒在桌案上，在电报纸上投下斑驳的光影。
【片段 3】
我收拾好桌案上的电报和分析资料，将它们小心地锁进抽屉里。既然德昌洋行的人主动找上门来，这正是一个绝佳的机会，我可以从内部了解这家洋行的真实情况。我整理了一下中山装，戴好帽子，向小王交代了几句便离开了电报局。
秋日的上海街头人来人往，黄包车和汽车在石板路上交错而过。我沿着南京路向东走去，心中反复琢磨着如何应对这次会面。德昌洋行位于外滩附近的一栋三层洋楼里，这里是租界的核心商业区，各国商行林立，处处透着繁华与复杂。
走到德昌洋行门前，我抬头看了看那块黑底金字的招牌。这是一家经营茶叶、丝绸等传统商品的中等规模洋行，门面虽不算豪华，但也颇为体面。我推门而入，一阵淡淡的茶香扑面而来。
"请问您找哪位？"一个年轻的伙计迎了上来。
"我找王账房先生，我是电报局的林致远。"我递上自己的名片。
"哦，王先生正在等您呢！"伙计的神情显得有些紧张，"请您跟我来。"
我跟着伙计穿过前厅，来到二楼的一间办公室。房间里摆设简朴，一张红木办公桌后坐着一个四十多岁的中年男子，身穿深蓝色长衫，面容略显憔悴，正在翻阅着一摞账册。
"林先生，久仰大名！"王账房起身相迎，脸上挤出一丝笑容，但眼神中透着不安，"在下王德贵，德昌洋行的账房。今日冒昧登门，实在是有要事相商。"
"王先生客气了。"我在他对面的椅子上坐下，仔细观察着这个人的神情，"不知王先生找我有何要事？"
王德贵犹豫了一下，压低声音说道："林先生，我们洋行最近的电报往来出现了一些异常情况。有几份重要的商业电报，内容似乎与我们发送的原文有所出入。我听说您是这方面的专家，所以想请您帮忙看看。"</t>
  </si>
  <si>
    <t>game_1776419299_05783f</t>
  </si>
  <si>
    <t>C:\Users\User\Desktop\DN-main\DN-experiment-2.0\theme_006_game_1776419299_05783f</t>
  </si>
  <si>
    <t>C:\Users\User\Desktop\DN-main\DN-experiment-2.0\theme_006_game_1776419299_05783f\game_1776419299_05783f_001.json;C:\Users\User\Desktop\DN-main\DN-experiment-2.0\theme_006_game_1776419299_05783f\game_1776419299_05783f_002.json;C:\Users\User\Desktop\DN-main\DN-experiment-2.0\theme_006_game_1776419299_05783f\game_1776419299_05783f_003.json</t>
  </si>
  <si>
    <t>TEXT_0007</t>
  </si>
  <si>
    <t>【片段 1】 深秋的伦敦黄昏，雾气弥漫的街道上传来急促的脚步声。我匆忙推开哈里森钟表作坊的木门，铜铃发出清脆的响声，但迎接我的不是往日父亲温和的问候，而是一片死寂。</t>
  </si>
  <si>
    <t>【片段 1】
深秋的伦敦黄昏，雾气弥漫的街道上传来急促的脚步声。我匆忙推开哈里森钟表作坊的木门，铜铃发出清脆的响声，但迎接我的不是往日父亲温和的问候，而是一片死寂。
作坊内昏暗的煤气灯光摇曳着，投射出长长的阴影。工作台上散落着半完成的怀表零件，精密的齿轮和发条在微弱的光线下闪着冷光。空气中弥漫着机油和金属的味道，还有一丝令人不安的药水气息。
"父亲？"我轻声呼唤，声音在狭小的空间里显得格外突兀。
从后屋传来微弱的呻吟声，我的心瞬间沉到了谷底。推开通往起居室的门，眼前的景象让我几乎无法呼吸父亲倒在地上，右半边身体无力地瘫软着，嘴角歪斜，眼神涣散却充满痛苦。
"艾德华"他艰难地挤出几个字，声音含糊不清，"作坊"
我跪在父亲身边，颤抖的手触摸着他冰冷的额头。这个曾经双手稳如磐石、能够制作出最精密钟表的男人，如今连说话都变得困难。房间里的座钟依然在滴答作响，但时间仿佛在这一刻停止了。
邻居威尔逊太太闻声赶来，她的脸色苍白，"艾德华，我刚才听到响声就过来看看。你父亲大概一个小时前突然倒下的，我已经派人去叫医生了。"
医生匆忙赶到，经过简单检查后摇了摇头，"中风，而且情况不太乐观。右半身可能会长期瘫痪，需要人全天照料。"
我望着父亲无助的眼神，再看看作坊里那些等待修理的钟表，心中涌起一阵绝望。家族传承了三代的钟表作坊，我即将获得大师认证的梦想，还有那些依赖我们手艺的老客户一切都在这个黄昏发生了改变。
窗外的雾气越来越浓，街上的煤气灯一盏盏亮起，而我知道，从今晚开始，我必须独自承担起这个家的重量。
【片段 2】
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
【片段 3】
我站在工作台前，颤抖的手轻抚着祖父的金怀表。这只怀表陪伴了我们家族三代人，表面上精美的雕花在煤气灯下闪闪发光，内部的机械结构更是祖父毕生技艺的结晶。我能感受到它内部齿轮的完美契合，每一个零件都承载着家族的记忆和传承。
"这是必须的。"我对自己轻声说道，努力压下心中的不舍。父亲需要专业护理，而我们现在没有其他选择。
我小心翼翼地将怀表放入怀中，走向门外。夜晚的伦敦街道笼罩在薄雾中，煤气路灯投下昏黄的光圈。我知道在贝克街附近有一家信誉良好的当铺，老板汤普森先生是个识货的人，应该能给出公道的价格。
二十分钟后，我推开了当铺的门。铜铃发出清脆的响声，汤普森先生从柜台后抬起头来。他是个五十多岁的中年人，戴着厚厚的眼镜，多年的典当生意让他练就了一双识别真伪的慧眼。
"哈里森先生，这么晚了还来我这里，一定是有急事吧？"汤普森先生的语气中带着关切。
我深吸一口气，从怀中取出金怀表，轻轻放在柜台上。"汤普森先生，我需要用这个换些现金。我父亲病了，需要护理费用。"
汤普森先生拿起怀表，仔细端详着。他打开表盖，用放大镜观察内部的机械结构，不时发出赞叹的声音。"这是真正的艺术品，哈里森先生。你祖父的手艺确实非同凡响。"他停顿了一下，"按照目前的市价，我可以给你四镑十先令。"
这个价格比我预期的要高一些，足够支付玛莎一个多月的护理费用。但看着祖父的怀表即将离开我们家族，我的心情复杂难言。</t>
  </si>
  <si>
    <t>game_1776419613_9xv3kl</t>
  </si>
  <si>
    <t>C:\Users\User\Desktop\DN-main\DN-experiment-2.0\theme_012_game_1776419613_9xv3kl</t>
  </si>
  <si>
    <t>C:\Users\User\Desktop\DN-main\DN-experiment-2.0\theme_012_game_1776419613_9xv3kl\game_1776419613_9xv3kl_001.json;C:\Users\User\Desktop\DN-main\DN-experiment-2.0\theme_012_game_1776419613_9xv3kl\game_1776419613_9xv3kl_002.json;C:\Users\User\Desktop\DN-main\DN-experiment-2.0\theme_012_game_1776419613_9xv3kl\game_1776419613_9xv3kl_003.json</t>
  </si>
  <si>
    <t>TEXT_0008</t>
  </si>
  <si>
    <t>【片段 1】 凌晨四点的沙漠边缘，星辰依旧闪烁在深蓝色的天幕上，但东方已经泛起微弱的鱼肚白。我站在家族商队的院落里，手中握着那张传承了三代的羊皮星图，感受着夜风中夹杂的沙粒轻抚过脸颊。院子里停着三辆骆驼车，车厢上的帆布在风中轻微摆动，发出细微的摩擦声。</t>
  </si>
  <si>
    <t>【片段 1】
凌晨四点的沙漠边缘，星辰依旧闪烁在深蓝色的天幕上，但东方已经泛起微弱的鱼肚白。我站在家族商队的院落里，手中握着那张传承了三代的羊皮星图，感受着夜风中夹杂的沙粒轻抚过脸颊。院子里停着三辆骆驼车，车厢上的帆布在风中轻微摆动，发出细微的摩擦声。
"艾力江，你又在看星图了。"父亲阿不都热依木的声音从身后传来，带着一丝疲惫和无奈。他走到我身边，深棕色的脸庞在星光下显得格外沧桑，"昨天晚上老马又来找我了，说要退出商队。"
我转过身看着父亲，他的眼中闪烁着复杂的情绪。这个曾经威风凛凛的商队首领，如今却为了几个队员的去留而彻夜难眠。院落角落里，几匹骆驼正在安静地咀嚼着干草，偶尔发出低沉的哼声，这声音曾经是我童年最熟悉的安眠曲。
"父亲，我们还有多少积蓄？"我问道，虽然心中已经有了答案。
父亲沉默了片刻，从怀中掏出一个破旧的账本，"够维持两个月的基本开销。如果再没有生意，我们就得卖掉一辆骆驼车了。"他的声音很轻，但每个字都像沙粒一样沉重地落在我心里。
远处传来汽车引擎的轰鸣声，一辆现代化的货车正沿着新修的公路驶向城市。那条路线曾经是我们家族商队的专属通道，如今却被钢铁和橡胶的怪兽占据。我握紧手中的星图，感受着羊皮上那些古老符号的纹理，它们记录着祖辈们在沙漠中开辟的每一条生命之路。
"儿子，我知道你在想什么。"父亲的手轻抚着我的肩膀，"但有些东西，不是说放弃就能放弃的。这些星图，这些路线，是我们祖先用生命换来的财富。"
晨风渐起，院子里的风铃发出清脆的响声。我看着手中的星图，那些密密麻麻的标记仿佛在诉说着家族的荣光与沉重。在现代化的冲击下，我们是该坚守传统，还是顺应时代的潮流？
【片段 2】
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
【片段 3】
我深吸一口气，将手中的铜制罗盘轻轻放在星图旁边，看着父亲眼中的担忧和期待。"父亲，我知道这很冒险，但是我们不能只凭想象来判断这条路的价值。"我指着星图上的红色路线，声音中带着坚定，"既然祖父的记录显示这里曾经有丰富的货源，我们就应该实地去看看。"
父亲沉默了很久，目光在星图和我的脸上来回游移。院子里的煤油灯火苗轻微摇曳，在他饱经风霜的面庞上投下深深的阴影。"艾力江，你要明白，七十年的时间足以改变很多东西。沙暴、地震、河流改道……"他的声音有些沙哑，"而且我们现在的骆驼只有八头，人手也不够。"
"那我们就先组织一个小规模的探路队。"我站起身来，在院子里踱步，思路逐渐清晰，"不需要携带大量货物，只带必需的补给和测量工具。如果路线确实可行，我们再考虑正式的贸易行动。"
父亲拿起那个古老的罗盘，仔细端详着上面精致的刻度和阿拉伯数字。"这个想法……倒不是完全不可行。"他缓缓说道，"但是我们需要找到合适的向导，还要准备足够的水和食物。最重要的是，我们必须选择合适的季节出发。"
远处传来妻子准备早餐的声音，炊烟袅袅升起，与即将到来的朝阳形成了温暖的画面。我感到一种久违的希望在心中燃起，这或许真的是拯救家族商队的机会。</t>
  </si>
  <si>
    <t>game_1776419881_ts9erz</t>
  </si>
  <si>
    <t>C:\Users\User\Desktop\DN-main\DN-experiment-2.0\theme_018_game_1776419881_ts9erz</t>
  </si>
  <si>
    <t>C:\Users\User\Desktop\DN-main\DN-experiment-2.0\theme_018_game_1776419881_ts9erz\game_1776419881_ts9erz_001.json;C:\Users\User\Desktop\DN-main\DN-experiment-2.0\theme_018_game_1776419881_ts9erz\game_1776419881_ts9erz_002.json;C:\Users\User\Desktop\DN-main\DN-experiment-2.0\theme_018_game_1776419881_ts9erz\game_1776419881_ts9erz_003.json</t>
  </si>
  <si>
    <t>TEXT_0009</t>
  </si>
  <si>
    <t>【片段 1】 凌晨四点三十分，地面锚定站的警报声刺破了夜空的宁静。</t>
  </si>
  <si>
    <t>【片段 1】
凌晨四点三十分，地面锚定站的警报声刺破了夜空的宁静。
我从值班室的折叠床上猛地坐起，手机屏幕上闪烁着红色的紧急呼叫信号。十二年的检修经验让我的身体比意识更快地做出反应三十秒内，我已经穿好深蓝色的工装，腰间挂满了便携检测设备。
"陈工，三号缆线基础锚点出现异常振动，数据显示结构应力超出正常范围15。"年轻的监控员小李紧张地向我汇报，他的声音在空旷的控制室里显得格外急促。
我快步走向主控台，那里的全息显示屏正展示着太空电梯的实时状态。三条巨大的碳纳米管缆线如同连接天地的银色丝线，在晨曦中闪闪发光。但在数据流中，我看到了令人不安的红色警告标记三号缆线的基础锚点区域，那个深埋在地下五百米的关键结构，正在发出求救信号。
"振动频率是多少？"我一边调取详细数据，一边检查手中的结构分析仪。
"03赫兹，持续了二十分钟。"小李的额头已经渗出汗珠，"按照安全规程，这种情况需要立即停运检查。"
我的心沉了下去。停运意味着什么，我们都清楚每小时的经济损失以千万计算，全球供应链的中断，无数人的工作和生活受到影响。但更让我担心的是，如果真的存在结构问题而我们选择忽视，后果将不堪设想。
就在这时，我的个人通讯器响起了熟悉的铃声。妻子林雨的名字出现在屏幕上，但现在不是接电话的时候。我按下静音键，专注于眼前的数据分析。
"陈工，管理层要求你在一小时内给出初步评估报告。"小李的声音有些颤抖，"他们说他们说希望能找到继续运营的可能性。"
我深深吸了一口气，感受着肩膀上熟悉的重量。十二年来，我处理过无数次这样的情况，但每一次都像是在生死边缘行走。我的双手因为长期接触金属工具而布满老茧，现在正稳稳地操作着检测设备，准备深入地下进行实地检查。
通讯器又响了，这次是连续的急促铃声那是林雨设置的紧急呼叫信号。
【片段 2】
你选择了：立即下井检查缆线基础结构。在你的努力下，你取得了一些进展。
【片段 3】
你选择了：继续前进。在你的努力下，你取得了一些进展。</t>
  </si>
  <si>
    <t>game_1776420257_ds08b3</t>
  </si>
  <si>
    <t>C:\Users\User\Desktop\DN-main\DN-experiment-2.0\theme_054_game_1776420257_ds08b3</t>
  </si>
  <si>
    <t>C:\Users\User\Desktop\DN-main\DN-experiment-2.0\theme_054_game_1776420257_ds08b3\game_1776420257_ds08b3_001.json;C:\Users\User\Desktop\DN-main\DN-experiment-2.0\theme_054_game_1776420257_ds08b3\game_1776420257_ds08b3_002.json;C:\Users\User\Desktop\DN-main\DN-experiment-2.0\theme_054_game_1776420257_ds08b3\game_1776420257_ds08b3_003.json</t>
  </si>
  <si>
    <t>TEXT_0010</t>
  </si>
  <si>
    <t>【片段 1】 深夜十一点，银龙公会的店面里还亮着昏黄的灯光。我推开那扇贴满各种桌游海报的玻璃门，熟悉的铃铛声在空旷的店内回响。空气中弥漫着咖啡的苦涩味和纸张的陈旧气息，几张空荡荡的游戏桌静静地摆放着，桌面上还残留着今晚战役结束后的痕迹散落的骰子、翻开的规则书、几个空咖啡杯。</t>
  </si>
  <si>
    <t>【片段 1】
深夜十一点，银龙公会的店面里还亮着昏黄的灯光。我推开那扇贴满各种桌游海报的玻璃门，熟悉的铃铛声在空旷的店内回响。空气中弥漫着咖啡的苦涩味和纸张的陈旧气息，几张空荡荡的游戏桌静静地摆放着，桌面上还残留着今晚战役结束后的痕迹散落的骰子、翻开的规则书、几个空咖啡杯。
我摘下黑框眼镜，用衬衫袖子轻轻擦拭着镜片，疲惫的眼神透过镜片望向墙上那张泛黄的合影那是公会成立五周年时拍的，十几个人挤在一起，每个人脸上都洋溢着纯真的笑容。现在看来，那些笑容显得格外珍贵。
"晨羽，你还在啊。"身后传来熟悉的声音，我转过身，看到副会长张明正从后台走出来，手里拿着一叠账单，眉头紧锁。"刚才统计了一下这个月的收支，情况不太乐观。"
我下意识地摸了摸手腕上的骰子手链，那是加入公会时老会长送给我的，现在每颗骰子都已经磨得有些光滑。"老张，具体差多少？"
张明在我对面坐下，将账单摊开在桌上。"房租下个月要涨三千，加上水电和其他开支，我们至少需要多赚一万五才能维持现状。"他停顿了一下，声音有些沉重，"更要命的是，李浩他们三个核心成员下周就要去外地工作了，新来的几个玩家水平参差不齐，有些连基础规则都不熟悉。"
我打开随身背包，取出笔记本电脑，屏幕的蓝光在昏暗的店内显得格外刺眼。电脑里存着我这几年设计的所有战役剧本，每一个都倾注了无数心血。"我一直在想，也许我们需要改变一些东西。"
"改变？"张明看着我，眼中闪过一丝不安，"你是说商业化那套？老会长走之前可是再三叮嘱，不要让公会变味。"
窗外偶尔有夜班公交车驶过，车灯的光影在店内墙壁上划过，就像时间的流逝一样无声无息。我盯着电脑屏幕上那个名为"新手引导战役"的文件夹，里面还是空的。这个公会承载着太多人的回忆和梦想，但现实的压力却如影随形。
【片段 2】
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
【片段 3】
我打开电脑上的设计软件，开始构建一个清晰的框架图。"我觉得标准化的教学模块更适合我们现在的情况。"我一边说着，一边在屏幕上画出几个方框，"你看，我们可以把整个学习过程分解成几个独立的模块：基础规则、角色创建、战斗系统、角色扮演技巧。每个模块都有明确的学习目标和评估标准。"
张明拉过一把椅子坐在我旁边，仔细观察着屏幕上逐渐成型的结构图。"这样确实比较系统，新手可以按照自己的节奏学习，我们也能更好地跟踪他们的进度。"他指着其中一个模块，"不过这个角色扮演技巧的部分，你打算怎么设计？这个比较抽象，不像规则那么容易标准化。"
"这正是我在考虑的问题。"我停下手中的动作，推了推眼镜，"我想设计一些情景练习，比如常见的酒馆遭遇、商店购物、与NPC对话等等。每个情景都有几种不同的应对方式，让新手通过实践来理解角色扮演的精髓。"
我继续在键盘上敲击着，将想法转化为具体的文档结构。"而且这种模块化的设计还有个好处，就是我们可以根据实际情况随时调整和更新。如果发现某个模块效果不好，我们可以单独优化，不会影响整个体系。"
张明若有所思地点点头，"听起来很有操作性。不过晨羽，你觉得我们需要多长时间才能完成这套教学体系？毕竟现在公会的情况"
窗外的街灯已经亮起，店内只有我们两个人还在为公会的未来而努力着。我看了看手腕上的骰子手链，那是当初创建公会时大家一起买的纪念品，现在它提醒着我肩上的责任。</t>
  </si>
  <si>
    <t>game_1776420517_nejnnv</t>
  </si>
  <si>
    <t>C:\Users\User\Desktop\DN-main\DN-experiment-2.0\theme_073_game_1776420517_nejnnv</t>
  </si>
  <si>
    <t>C:\Users\User\Desktop\DN-main\DN-experiment-2.0\theme_073_game_1776420517_nejnnv\game_1776420517_nejnnv_001.json;C:\Users\User\Desktop\DN-main\DN-experiment-2.0\theme_073_game_1776420517_nejnnv\game_1776420517_nejnnv_002.json;C:\Users\User\Desktop\DN-main\DN-experiment-2.0\theme_073_game_1776420517_nejnnv\game_1776420517_nejnnv_003.json</t>
  </si>
  <si>
    <t>评分员编号</t>
  </si>
  <si>
    <t>剧情连贯性评分（1-5）</t>
  </si>
  <si>
    <t>评分置信度（0-1）</t>
  </si>
  <si>
    <t>是否存在严重硬伤（0/1）</t>
  </si>
  <si>
    <t>评分理由</t>
  </si>
  <si>
    <t>问题标签</t>
  </si>
  <si>
    <t>备注</t>
  </si>
  <si>
    <t>填写提示</t>
  </si>
  <si>
    <t>modality</t>
  </si>
  <si>
    <t>rater_id</t>
  </si>
  <si>
    <t>text_coherence_1to5</t>
  </si>
  <si>
    <t>confidence</t>
  </si>
  <si>
    <t>disqualifying_defect_0or1</t>
  </si>
  <si>
    <t>reasons</t>
  </si>
  <si>
    <t>failure_tags</t>
  </si>
  <si>
    <t>comment</t>
  </si>
  <si>
    <t>非 5 分请写具体理由；问题标签可从说明页复制。</t>
  </si>
  <si>
    <t>text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</si>
</sst>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6"/>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E78"/>
        <bgColor indexed="64"/>
      </patternFill>
    </fill>
    <fill>
      <patternFill patternType="solid">
        <fgColor rgb="FFE7E6E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2" fillId="2"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abSelected="1" workbookViewId="0">
      <pane ySplit="1" topLeftCell="A5" activePane="bottomLeft" state="frozen"/>
      <selection/>
      <selection pane="bottomLeft" activeCell="A10" sqref="A10"/>
    </sheetView>
  </sheetViews>
  <sheetFormatPr defaultColWidth="9" defaultRowHeight="14" outlineLevelCol="3"/>
  <cols>
    <col min="1" max="1" width="24" customWidth="1"/>
    <col min="2" max="2" width="34" customWidth="1"/>
    <col min="3" max="4" width="44" customWidth="1"/>
  </cols>
  <sheetData>
    <row r="1" ht="28" customHeight="1" spans="1:4">
      <c r="A1" s="5" t="s">
        <v>0</v>
      </c>
      <c r="B1" s="3"/>
      <c r="C1" s="3"/>
      <c r="D1" s="3"/>
    </row>
    <row r="2" ht="34" customHeight="1" spans="1:4">
      <c r="A2" s="3" t="s">
        <v>1</v>
      </c>
      <c r="B2" s="3" t="s">
        <v>2</v>
      </c>
      <c r="C2" s="3" t="s">
        <v>3</v>
      </c>
      <c r="D2" s="3" t="s">
        <v>4</v>
      </c>
    </row>
    <row r="3" ht="34" customHeight="1" spans="1:4">
      <c r="A3" s="3" t="s">
        <v>5</v>
      </c>
      <c r="B3" s="3" t="s">
        <v>6</v>
      </c>
      <c r="C3" s="3" t="s">
        <v>7</v>
      </c>
      <c r="D3" s="3" t="s">
        <v>4</v>
      </c>
    </row>
    <row r="4" ht="34" customHeight="1" spans="1:4">
      <c r="A4" s="3" t="s">
        <v>8</v>
      </c>
      <c r="B4" s="3" t="s">
        <v>9</v>
      </c>
      <c r="C4" s="3" t="s">
        <v>10</v>
      </c>
      <c r="D4" s="3" t="s">
        <v>4</v>
      </c>
    </row>
    <row r="5" ht="34" customHeight="1" spans="1:4">
      <c r="A5" s="3" t="s">
        <v>11</v>
      </c>
      <c r="B5" s="3" t="s">
        <v>12</v>
      </c>
      <c r="C5" s="3" t="s">
        <v>13</v>
      </c>
      <c r="D5" s="3" t="s">
        <v>4</v>
      </c>
    </row>
    <row r="6" ht="34" customHeight="1" spans="1:4">
      <c r="A6" s="3" t="s">
        <v>14</v>
      </c>
      <c r="B6" s="3" t="s">
        <v>15</v>
      </c>
      <c r="C6" s="3" t="s">
        <v>16</v>
      </c>
      <c r="D6" s="3" t="s">
        <v>4</v>
      </c>
    </row>
    <row r="7" ht="34" customHeight="1" spans="1:4">
      <c r="A7" s="3" t="s">
        <v>17</v>
      </c>
      <c r="B7" s="3" t="s">
        <v>18</v>
      </c>
      <c r="C7" s="3" t="s">
        <v>19</v>
      </c>
      <c r="D7" s="3" t="s">
        <v>4</v>
      </c>
    </row>
    <row r="8" ht="56" customHeight="1" spans="1:4">
      <c r="A8" s="3" t="s">
        <v>20</v>
      </c>
      <c r="B8" s="3" t="s">
        <v>21</v>
      </c>
      <c r="C8" s="3" t="s">
        <v>22</v>
      </c>
      <c r="D8" s="3" t="s">
        <v>23</v>
      </c>
    </row>
    <row r="9" ht="34" customHeight="1" spans="1:4">
      <c r="A9" s="3" t="s">
        <v>24</v>
      </c>
      <c r="B9" s="3" t="s">
        <v>25</v>
      </c>
      <c r="C9" s="3" t="s">
        <v>26</v>
      </c>
      <c r="D9" s="3" t="s">
        <v>4</v>
      </c>
    </row>
    <row r="10" ht="98" customHeight="1" spans="1:4">
      <c r="A10" s="3" t="s">
        <v>27</v>
      </c>
      <c r="B10" s="3" t="s">
        <v>28</v>
      </c>
      <c r="C10" s="3" t="s">
        <v>29</v>
      </c>
      <c r="D10" s="3" t="s">
        <v>4</v>
      </c>
    </row>
  </sheetData>
  <mergeCells count="1">
    <mergeCell ref="A1:D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pane ySplit="1" topLeftCell="A3" activePane="bottomLeft" state="frozen"/>
      <selection/>
      <selection pane="bottomLeft" activeCell="B15" sqref="B15"/>
    </sheetView>
  </sheetViews>
  <sheetFormatPr defaultColWidth="9" defaultRowHeight="14"/>
  <cols>
    <col min="1" max="1" width="14" customWidth="1"/>
    <col min="2" max="2" width="36" customWidth="1"/>
    <col min="3" max="3" width="86" customWidth="1"/>
    <col min="4" max="4" width="36" customWidth="1"/>
    <col min="5" max="5" width="14" customWidth="1"/>
    <col min="6" max="6" width="14" hidden="1" customWidth="1"/>
    <col min="7" max="7" width="26" hidden="1" customWidth="1"/>
    <col min="8" max="8" width="14" hidden="1" customWidth="1"/>
    <col min="9" max="9" width="46" hidden="1" customWidth="1"/>
    <col min="10" max="10" width="20" hidden="1" customWidth="1"/>
    <col min="11" max="11" width="46" hidden="1" customWidth="1"/>
  </cols>
  <sheetData>
    <row r="1" ht="28" spans="1:11">
      <c r="A1" s="1" t="s">
        <v>30</v>
      </c>
      <c r="B1" s="1" t="s">
        <v>31</v>
      </c>
      <c r="C1" s="1" t="s">
        <v>32</v>
      </c>
      <c r="D1" s="1" t="s">
        <v>33</v>
      </c>
      <c r="E1" s="1" t="s">
        <v>34</v>
      </c>
      <c r="F1" s="2" t="s">
        <v>35</v>
      </c>
      <c r="G1" s="2" t="s">
        <v>36</v>
      </c>
      <c r="H1" s="2" t="s">
        <v>37</v>
      </c>
      <c r="I1" s="2" t="s">
        <v>38</v>
      </c>
      <c r="J1" s="2" t="s">
        <v>39</v>
      </c>
      <c r="K1" s="2" t="s">
        <v>40</v>
      </c>
    </row>
    <row r="2" ht="180" customHeight="1" spans="1:11">
      <c r="A2" s="3" t="s">
        <v>41</v>
      </c>
      <c r="B2" s="3" t="s">
        <v>42</v>
      </c>
      <c r="C2" s="3" t="s">
        <v>43</v>
      </c>
      <c r="D2" s="3" t="s">
        <v>44</v>
      </c>
      <c r="E2" s="3" t="s">
        <v>45</v>
      </c>
      <c r="F2" s="3" t="s">
        <v>41</v>
      </c>
      <c r="G2" s="3" t="s">
        <v>46</v>
      </c>
      <c r="H2" s="3">
        <v>1</v>
      </c>
      <c r="I2" s="3" t="s">
        <v>47</v>
      </c>
      <c r="J2" s="3" t="s">
        <v>4</v>
      </c>
      <c r="K2" s="3" t="s">
        <v>48</v>
      </c>
    </row>
    <row r="3" ht="180" customHeight="1" spans="1:11">
      <c r="A3" s="3" t="s">
        <v>49</v>
      </c>
      <c r="B3" s="3" t="s">
        <v>50</v>
      </c>
      <c r="C3" s="3" t="s">
        <v>51</v>
      </c>
      <c r="D3" s="3" t="s">
        <v>44</v>
      </c>
      <c r="E3" s="3" t="s">
        <v>52</v>
      </c>
      <c r="F3" s="3" t="s">
        <v>49</v>
      </c>
      <c r="G3" s="3" t="s">
        <v>53</v>
      </c>
      <c r="H3" s="3">
        <v>2</v>
      </c>
      <c r="I3" s="3" t="s">
        <v>54</v>
      </c>
      <c r="J3" s="3" t="s">
        <v>4</v>
      </c>
      <c r="K3" s="3" t="s">
        <v>55</v>
      </c>
    </row>
    <row r="4" ht="180" customHeight="1" spans="1:11">
      <c r="A4" s="3" t="s">
        <v>56</v>
      </c>
      <c r="B4" s="3" t="s">
        <v>57</v>
      </c>
      <c r="C4" s="3" t="s">
        <v>58</v>
      </c>
      <c r="D4" s="3" t="s">
        <v>44</v>
      </c>
      <c r="E4" s="3" t="s">
        <v>52</v>
      </c>
      <c r="F4" s="3" t="s">
        <v>56</v>
      </c>
      <c r="G4" s="3" t="s">
        <v>59</v>
      </c>
      <c r="H4" s="3">
        <v>3</v>
      </c>
      <c r="I4" s="3" t="s">
        <v>60</v>
      </c>
      <c r="J4" s="3" t="s">
        <v>4</v>
      </c>
      <c r="K4" s="3" t="s">
        <v>61</v>
      </c>
    </row>
    <row r="5" ht="180" customHeight="1" spans="1:11">
      <c r="A5" s="3" t="s">
        <v>62</v>
      </c>
      <c r="B5" s="3" t="s">
        <v>63</v>
      </c>
      <c r="C5" s="3" t="s">
        <v>64</v>
      </c>
      <c r="D5" s="3" t="s">
        <v>44</v>
      </c>
      <c r="E5" s="3" t="s">
        <v>52</v>
      </c>
      <c r="F5" s="3" t="s">
        <v>62</v>
      </c>
      <c r="G5" s="3" t="s">
        <v>65</v>
      </c>
      <c r="H5" s="3">
        <v>4</v>
      </c>
      <c r="I5" s="3" t="s">
        <v>66</v>
      </c>
      <c r="J5" s="3" t="s">
        <v>4</v>
      </c>
      <c r="K5" s="3" t="s">
        <v>67</v>
      </c>
    </row>
    <row r="6" ht="180" customHeight="1" spans="1:11">
      <c r="A6" s="3" t="s">
        <v>68</v>
      </c>
      <c r="B6" s="3" t="s">
        <v>69</v>
      </c>
      <c r="C6" s="3" t="s">
        <v>70</v>
      </c>
      <c r="D6" s="3" t="s">
        <v>44</v>
      </c>
      <c r="E6" s="3" t="s">
        <v>52</v>
      </c>
      <c r="F6" s="3" t="s">
        <v>68</v>
      </c>
      <c r="G6" s="3" t="s">
        <v>71</v>
      </c>
      <c r="H6" s="3">
        <v>5</v>
      </c>
      <c r="I6" s="3" t="s">
        <v>72</v>
      </c>
      <c r="J6" s="3" t="s">
        <v>4</v>
      </c>
      <c r="K6" s="3" t="s">
        <v>73</v>
      </c>
    </row>
    <row r="7" ht="180" customHeight="1" spans="1:11">
      <c r="A7" s="3" t="s">
        <v>74</v>
      </c>
      <c r="B7" s="3" t="s">
        <v>75</v>
      </c>
      <c r="C7" s="3" t="s">
        <v>76</v>
      </c>
      <c r="D7" s="3" t="s">
        <v>44</v>
      </c>
      <c r="E7" s="3" t="s">
        <v>52</v>
      </c>
      <c r="F7" s="3" t="s">
        <v>74</v>
      </c>
      <c r="G7" s="3" t="s">
        <v>77</v>
      </c>
      <c r="H7" s="3">
        <v>6</v>
      </c>
      <c r="I7" s="3" t="s">
        <v>78</v>
      </c>
      <c r="J7" s="3" t="s">
        <v>4</v>
      </c>
      <c r="K7" s="3" t="s">
        <v>79</v>
      </c>
    </row>
    <row r="8" ht="180" customHeight="1" spans="1:11">
      <c r="A8" s="3" t="s">
        <v>80</v>
      </c>
      <c r="B8" s="3" t="s">
        <v>81</v>
      </c>
      <c r="C8" s="3" t="s">
        <v>82</v>
      </c>
      <c r="D8" s="3" t="s">
        <v>44</v>
      </c>
      <c r="E8" s="3" t="s">
        <v>52</v>
      </c>
      <c r="F8" s="3" t="s">
        <v>80</v>
      </c>
      <c r="G8" s="3" t="s">
        <v>83</v>
      </c>
      <c r="H8" s="3">
        <v>12</v>
      </c>
      <c r="I8" s="3" t="s">
        <v>84</v>
      </c>
      <c r="J8" s="3" t="s">
        <v>4</v>
      </c>
      <c r="K8" s="3" t="s">
        <v>85</v>
      </c>
    </row>
    <row r="9" ht="180" customHeight="1" spans="1:11">
      <c r="A9" s="3" t="s">
        <v>86</v>
      </c>
      <c r="B9" s="3" t="s">
        <v>87</v>
      </c>
      <c r="C9" s="3" t="s">
        <v>88</v>
      </c>
      <c r="D9" s="3" t="s">
        <v>44</v>
      </c>
      <c r="E9" s="3" t="s">
        <v>52</v>
      </c>
      <c r="F9" s="3" t="s">
        <v>86</v>
      </c>
      <c r="G9" s="3" t="s">
        <v>89</v>
      </c>
      <c r="H9" s="3">
        <v>18</v>
      </c>
      <c r="I9" s="3" t="s">
        <v>90</v>
      </c>
      <c r="J9" s="3" t="s">
        <v>4</v>
      </c>
      <c r="K9" s="3" t="s">
        <v>91</v>
      </c>
    </row>
    <row r="10" ht="180" customHeight="1" spans="1:11">
      <c r="A10" s="3" t="s">
        <v>92</v>
      </c>
      <c r="B10" s="3" t="s">
        <v>93</v>
      </c>
      <c r="C10" s="3" t="s">
        <v>94</v>
      </c>
      <c r="D10" s="3" t="s">
        <v>44</v>
      </c>
      <c r="E10" s="3" t="s">
        <v>52</v>
      </c>
      <c r="F10" s="3" t="s">
        <v>92</v>
      </c>
      <c r="G10" s="3" t="s">
        <v>95</v>
      </c>
      <c r="H10" s="3">
        <v>54</v>
      </c>
      <c r="I10" s="3" t="s">
        <v>96</v>
      </c>
      <c r="J10" s="3" t="s">
        <v>4</v>
      </c>
      <c r="K10" s="3" t="s">
        <v>97</v>
      </c>
    </row>
    <row r="11" ht="180" customHeight="1" spans="1:11">
      <c r="A11" s="3" t="s">
        <v>98</v>
      </c>
      <c r="B11" s="3" t="s">
        <v>99</v>
      </c>
      <c r="C11" s="3" t="s">
        <v>100</v>
      </c>
      <c r="D11" s="3" t="s">
        <v>44</v>
      </c>
      <c r="E11" s="3" t="s">
        <v>52</v>
      </c>
      <c r="F11" s="3" t="s">
        <v>98</v>
      </c>
      <c r="G11" s="3" t="s">
        <v>101</v>
      </c>
      <c r="H11" s="3">
        <v>73</v>
      </c>
      <c r="I11" s="3" t="s">
        <v>102</v>
      </c>
      <c r="J11" s="3" t="s">
        <v>4</v>
      </c>
      <c r="K11" s="3" t="s">
        <v>103</v>
      </c>
    </row>
  </sheetData>
  <autoFilter xmlns:etc="http://www.wps.cn/officeDocument/2017/etCustomData" ref="A1:K1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
  <sheetViews>
    <sheetView workbookViewId="0">
      <pane ySplit="1" topLeftCell="A2" activePane="bottomLeft" state="frozen"/>
      <selection/>
      <selection pane="bottomLeft" activeCell="B2" sqref="B2"/>
    </sheetView>
  </sheetViews>
  <sheetFormatPr defaultColWidth="9" defaultRowHeight="14"/>
  <cols>
    <col min="1" max="2" width="14" customWidth="1"/>
    <col min="3" max="3" width="18" customWidth="1"/>
    <col min="4" max="4" width="16" customWidth="1"/>
    <col min="5" max="5" width="20" customWidth="1"/>
    <col min="6" max="6" width="48" customWidth="1"/>
    <col min="7" max="7" width="34" customWidth="1"/>
    <col min="8" max="8" width="28" customWidth="1"/>
    <col min="9" max="9" width="34" customWidth="1"/>
    <col min="10" max="10" width="14" hidden="1" customWidth="1"/>
    <col min="11" max="11" width="12" hidden="1" customWidth="1"/>
    <col min="12" max="12" width="14" hidden="1" customWidth="1"/>
    <col min="13" max="13" width="20" hidden="1" customWidth="1"/>
    <col min="14" max="14" width="14" hidden="1" customWidth="1"/>
    <col min="15" max="15" width="22" hidden="1" customWidth="1"/>
    <col min="16" max="16" width="40" hidden="1" customWidth="1"/>
    <col min="17" max="17" width="34" hidden="1" customWidth="1"/>
    <col min="18" max="18" width="28" hidden="1" customWidth="1"/>
  </cols>
  <sheetData>
    <row r="1" ht="28" spans="1:18">
      <c r="A1" s="1" t="s">
        <v>30</v>
      </c>
      <c r="B1" s="1" t="s">
        <v>104</v>
      </c>
      <c r="C1" s="1" t="s">
        <v>105</v>
      </c>
      <c r="D1" s="1" t="s">
        <v>106</v>
      </c>
      <c r="E1" s="1" t="s">
        <v>107</v>
      </c>
      <c r="F1" s="1" t="s">
        <v>108</v>
      </c>
      <c r="G1" s="1" t="s">
        <v>109</v>
      </c>
      <c r="H1" s="1" t="s">
        <v>110</v>
      </c>
      <c r="I1" s="1" t="s">
        <v>111</v>
      </c>
      <c r="J1" s="2" t="s">
        <v>35</v>
      </c>
      <c r="K1" s="2" t="s">
        <v>112</v>
      </c>
      <c r="L1" s="2" t="s">
        <v>113</v>
      </c>
      <c r="M1" s="2" t="s">
        <v>114</v>
      </c>
      <c r="N1" s="2" t="s">
        <v>115</v>
      </c>
      <c r="O1" s="2" t="s">
        <v>116</v>
      </c>
      <c r="P1" s="2" t="s">
        <v>117</v>
      </c>
      <c r="Q1" s="2" t="s">
        <v>118</v>
      </c>
      <c r="R1" s="2" t="s">
        <v>119</v>
      </c>
    </row>
    <row r="2" ht="52" customHeight="1" spans="1:18">
      <c r="A2" s="3" t="s">
        <v>41</v>
      </c>
      <c r="B2" s="3"/>
      <c r="C2" s="4"/>
      <c r="D2" s="4"/>
      <c r="E2" s="4"/>
      <c r="F2" s="4"/>
      <c r="G2" s="4"/>
      <c r="H2" s="4"/>
      <c r="I2" s="3" t="s">
        <v>120</v>
      </c>
      <c r="J2" s="3" t="str">
        <f t="shared" ref="J2:J11" si="0">A2</f>
        <v>TEXT_0001</v>
      </c>
      <c r="K2" s="3" t="s">
        <v>121</v>
      </c>
      <c r="L2" s="3">
        <f t="shared" ref="L2:R2" si="1">B2</f>
        <v>0</v>
      </c>
      <c r="M2" s="3">
        <f t="shared" si="1"/>
        <v>0</v>
      </c>
      <c r="N2" s="3">
        <f t="shared" si="1"/>
        <v>0</v>
      </c>
      <c r="O2" s="3">
        <f t="shared" si="1"/>
        <v>0</v>
      </c>
      <c r="P2" s="3">
        <f t="shared" si="1"/>
        <v>0</v>
      </c>
      <c r="Q2" s="3">
        <f t="shared" si="1"/>
        <v>0</v>
      </c>
      <c r="R2" s="3">
        <f t="shared" si="1"/>
        <v>0</v>
      </c>
    </row>
    <row r="3" ht="52" customHeight="1" spans="1:18">
      <c r="A3" s="3" t="s">
        <v>49</v>
      </c>
      <c r="B3" s="3"/>
      <c r="C3" s="4"/>
      <c r="D3" s="4"/>
      <c r="E3" s="4"/>
      <c r="F3" s="4"/>
      <c r="G3" s="4"/>
      <c r="H3" s="4"/>
      <c r="I3" s="3" t="s">
        <v>120</v>
      </c>
      <c r="J3" s="3" t="str">
        <f t="shared" si="0"/>
        <v>TEXT_0002</v>
      </c>
      <c r="K3" s="3" t="s">
        <v>121</v>
      </c>
      <c r="L3" s="3">
        <f t="shared" ref="L3:R3" si="2">B3</f>
        <v>0</v>
      </c>
      <c r="M3" s="3">
        <f t="shared" si="2"/>
        <v>0</v>
      </c>
      <c r="N3" s="3">
        <f t="shared" si="2"/>
        <v>0</v>
      </c>
      <c r="O3" s="3">
        <f t="shared" si="2"/>
        <v>0</v>
      </c>
      <c r="P3" s="3">
        <f t="shared" si="2"/>
        <v>0</v>
      </c>
      <c r="Q3" s="3">
        <f t="shared" si="2"/>
        <v>0</v>
      </c>
      <c r="R3" s="3">
        <f t="shared" si="2"/>
        <v>0</v>
      </c>
    </row>
    <row r="4" ht="52" customHeight="1" spans="1:18">
      <c r="A4" s="3" t="s">
        <v>56</v>
      </c>
      <c r="B4" s="3"/>
      <c r="C4" s="4"/>
      <c r="D4" s="4"/>
      <c r="E4" s="4"/>
      <c r="F4" s="4"/>
      <c r="G4" s="4"/>
      <c r="H4" s="4"/>
      <c r="I4" s="3" t="s">
        <v>120</v>
      </c>
      <c r="J4" s="3" t="str">
        <f t="shared" si="0"/>
        <v>TEXT_0003</v>
      </c>
      <c r="K4" s="3" t="s">
        <v>121</v>
      </c>
      <c r="L4" s="3">
        <f t="shared" ref="L4:R4" si="3">B4</f>
        <v>0</v>
      </c>
      <c r="M4" s="3">
        <f t="shared" si="3"/>
        <v>0</v>
      </c>
      <c r="N4" s="3">
        <f t="shared" si="3"/>
        <v>0</v>
      </c>
      <c r="O4" s="3">
        <f t="shared" si="3"/>
        <v>0</v>
      </c>
      <c r="P4" s="3">
        <f t="shared" si="3"/>
        <v>0</v>
      </c>
      <c r="Q4" s="3">
        <f t="shared" si="3"/>
        <v>0</v>
      </c>
      <c r="R4" s="3">
        <f t="shared" si="3"/>
        <v>0</v>
      </c>
    </row>
    <row r="5" ht="52" customHeight="1" spans="1:18">
      <c r="A5" s="3" t="s">
        <v>62</v>
      </c>
      <c r="B5" s="3"/>
      <c r="C5" s="4"/>
      <c r="D5" s="4"/>
      <c r="E5" s="4"/>
      <c r="F5" s="4"/>
      <c r="G5" s="4"/>
      <c r="H5" s="4"/>
      <c r="I5" s="3" t="s">
        <v>120</v>
      </c>
      <c r="J5" s="3" t="str">
        <f t="shared" si="0"/>
        <v>TEXT_0004</v>
      </c>
      <c r="K5" s="3" t="s">
        <v>121</v>
      </c>
      <c r="L5" s="3">
        <f t="shared" ref="L5:R5" si="4">B5</f>
        <v>0</v>
      </c>
      <c r="M5" s="3">
        <f t="shared" si="4"/>
        <v>0</v>
      </c>
      <c r="N5" s="3">
        <f t="shared" si="4"/>
        <v>0</v>
      </c>
      <c r="O5" s="3">
        <f t="shared" si="4"/>
        <v>0</v>
      </c>
      <c r="P5" s="3">
        <f t="shared" si="4"/>
        <v>0</v>
      </c>
      <c r="Q5" s="3">
        <f t="shared" si="4"/>
        <v>0</v>
      </c>
      <c r="R5" s="3">
        <f t="shared" si="4"/>
        <v>0</v>
      </c>
    </row>
    <row r="6" ht="52" customHeight="1" spans="1:18">
      <c r="A6" s="3" t="s">
        <v>68</v>
      </c>
      <c r="B6" s="3"/>
      <c r="C6" s="4"/>
      <c r="D6" s="4"/>
      <c r="E6" s="4"/>
      <c r="F6" s="4"/>
      <c r="G6" s="4"/>
      <c r="H6" s="4"/>
      <c r="I6" s="3" t="s">
        <v>120</v>
      </c>
      <c r="J6" s="3" t="str">
        <f t="shared" si="0"/>
        <v>TEXT_0005</v>
      </c>
      <c r="K6" s="3" t="s">
        <v>121</v>
      </c>
      <c r="L6" s="3">
        <f t="shared" ref="L6:R6" si="5">B6</f>
        <v>0</v>
      </c>
      <c r="M6" s="3">
        <f t="shared" si="5"/>
        <v>0</v>
      </c>
      <c r="N6" s="3">
        <f t="shared" si="5"/>
        <v>0</v>
      </c>
      <c r="O6" s="3">
        <f t="shared" si="5"/>
        <v>0</v>
      </c>
      <c r="P6" s="3">
        <f t="shared" si="5"/>
        <v>0</v>
      </c>
      <c r="Q6" s="3">
        <f t="shared" si="5"/>
        <v>0</v>
      </c>
      <c r="R6" s="3">
        <f t="shared" si="5"/>
        <v>0</v>
      </c>
    </row>
    <row r="7" ht="52" customHeight="1" spans="1:18">
      <c r="A7" s="3" t="s">
        <v>74</v>
      </c>
      <c r="B7" s="3"/>
      <c r="C7" s="4"/>
      <c r="D7" s="4"/>
      <c r="E7" s="4"/>
      <c r="F7" s="4"/>
      <c r="G7" s="4"/>
      <c r="H7" s="4"/>
      <c r="I7" s="3" t="s">
        <v>120</v>
      </c>
      <c r="J7" s="3" t="str">
        <f t="shared" si="0"/>
        <v>TEXT_0006</v>
      </c>
      <c r="K7" s="3" t="s">
        <v>121</v>
      </c>
      <c r="L7" s="3">
        <f t="shared" ref="L7:R7" si="6">B7</f>
        <v>0</v>
      </c>
      <c r="M7" s="3">
        <f t="shared" si="6"/>
        <v>0</v>
      </c>
      <c r="N7" s="3">
        <f t="shared" si="6"/>
        <v>0</v>
      </c>
      <c r="O7" s="3">
        <f t="shared" si="6"/>
        <v>0</v>
      </c>
      <c r="P7" s="3">
        <f t="shared" si="6"/>
        <v>0</v>
      </c>
      <c r="Q7" s="3">
        <f t="shared" si="6"/>
        <v>0</v>
      </c>
      <c r="R7" s="3">
        <f t="shared" si="6"/>
        <v>0</v>
      </c>
    </row>
    <row r="8" ht="52" customHeight="1" spans="1:18">
      <c r="A8" s="3" t="s">
        <v>80</v>
      </c>
      <c r="B8" s="3"/>
      <c r="C8" s="4"/>
      <c r="D8" s="4"/>
      <c r="E8" s="4"/>
      <c r="F8" s="4"/>
      <c r="G8" s="4"/>
      <c r="H8" s="4"/>
      <c r="I8" s="3" t="s">
        <v>120</v>
      </c>
      <c r="J8" s="3" t="str">
        <f t="shared" si="0"/>
        <v>TEXT_0007</v>
      </c>
      <c r="K8" s="3" t="s">
        <v>121</v>
      </c>
      <c r="L8" s="3">
        <f t="shared" ref="L8:R8" si="7">B8</f>
        <v>0</v>
      </c>
      <c r="M8" s="3">
        <f t="shared" si="7"/>
        <v>0</v>
      </c>
      <c r="N8" s="3">
        <f t="shared" si="7"/>
        <v>0</v>
      </c>
      <c r="O8" s="3">
        <f t="shared" si="7"/>
        <v>0</v>
      </c>
      <c r="P8" s="3">
        <f t="shared" si="7"/>
        <v>0</v>
      </c>
      <c r="Q8" s="3">
        <f t="shared" si="7"/>
        <v>0</v>
      </c>
      <c r="R8" s="3">
        <f t="shared" si="7"/>
        <v>0</v>
      </c>
    </row>
    <row r="9" ht="52" customHeight="1" spans="1:18">
      <c r="A9" s="3" t="s">
        <v>86</v>
      </c>
      <c r="B9" s="3"/>
      <c r="C9" s="4"/>
      <c r="D9" s="4"/>
      <c r="E9" s="4"/>
      <c r="F9" s="4"/>
      <c r="G9" s="4"/>
      <c r="H9" s="4"/>
      <c r="I9" s="3" t="s">
        <v>120</v>
      </c>
      <c r="J9" s="3" t="str">
        <f t="shared" si="0"/>
        <v>TEXT_0008</v>
      </c>
      <c r="K9" s="3" t="s">
        <v>121</v>
      </c>
      <c r="L9" s="3">
        <f t="shared" ref="L9:R9" si="8">B9</f>
        <v>0</v>
      </c>
      <c r="M9" s="3">
        <f t="shared" si="8"/>
        <v>0</v>
      </c>
      <c r="N9" s="3">
        <f t="shared" si="8"/>
        <v>0</v>
      </c>
      <c r="O9" s="3">
        <f t="shared" si="8"/>
        <v>0</v>
      </c>
      <c r="P9" s="3">
        <f t="shared" si="8"/>
        <v>0</v>
      </c>
      <c r="Q9" s="3">
        <f t="shared" si="8"/>
        <v>0</v>
      </c>
      <c r="R9" s="3">
        <f t="shared" si="8"/>
        <v>0</v>
      </c>
    </row>
    <row r="10" ht="52" customHeight="1" spans="1:18">
      <c r="A10" s="3" t="s">
        <v>92</v>
      </c>
      <c r="B10" s="3"/>
      <c r="C10" s="4"/>
      <c r="D10" s="4"/>
      <c r="E10" s="4"/>
      <c r="F10" s="4"/>
      <c r="G10" s="4"/>
      <c r="H10" s="4"/>
      <c r="I10" s="3" t="s">
        <v>120</v>
      </c>
      <c r="J10" s="3" t="str">
        <f t="shared" si="0"/>
        <v>TEXT_0009</v>
      </c>
      <c r="K10" s="3" t="s">
        <v>121</v>
      </c>
      <c r="L10" s="3">
        <f t="shared" ref="L10:R10" si="9">B10</f>
        <v>0</v>
      </c>
      <c r="M10" s="3">
        <f t="shared" si="9"/>
        <v>0</v>
      </c>
      <c r="N10" s="3">
        <f t="shared" si="9"/>
        <v>0</v>
      </c>
      <c r="O10" s="3">
        <f t="shared" si="9"/>
        <v>0</v>
      </c>
      <c r="P10" s="3">
        <f t="shared" si="9"/>
        <v>0</v>
      </c>
      <c r="Q10" s="3">
        <f t="shared" si="9"/>
        <v>0</v>
      </c>
      <c r="R10" s="3">
        <f t="shared" si="9"/>
        <v>0</v>
      </c>
    </row>
    <row r="11" ht="52" customHeight="1" spans="1:18">
      <c r="A11" s="3" t="s">
        <v>98</v>
      </c>
      <c r="B11" s="3"/>
      <c r="C11" s="4"/>
      <c r="D11" s="4"/>
      <c r="E11" s="4"/>
      <c r="F11" s="4"/>
      <c r="G11" s="4"/>
      <c r="H11" s="4"/>
      <c r="I11" s="3" t="s">
        <v>120</v>
      </c>
      <c r="J11" s="3" t="str">
        <f t="shared" si="0"/>
        <v>TEXT_0010</v>
      </c>
      <c r="K11" s="3" t="s">
        <v>121</v>
      </c>
      <c r="L11" s="3">
        <f t="shared" ref="L11:R11" si="10">B11</f>
        <v>0</v>
      </c>
      <c r="M11" s="3">
        <f t="shared" si="10"/>
        <v>0</v>
      </c>
      <c r="N11" s="3">
        <f t="shared" si="10"/>
        <v>0</v>
      </c>
      <c r="O11" s="3">
        <f t="shared" si="10"/>
        <v>0</v>
      </c>
      <c r="P11" s="3">
        <f t="shared" si="10"/>
        <v>0</v>
      </c>
      <c r="Q11" s="3">
        <f t="shared" si="10"/>
        <v>0</v>
      </c>
      <c r="R11" s="3">
        <f t="shared" si="10"/>
        <v>0</v>
      </c>
    </row>
  </sheetData>
  <autoFilter xmlns:etc="http://www.wps.cn/officeDocument/2017/etCustomData" ref="A1:R11" etc:filterBottomFollowUsedRange="0">
    <extLst/>
  </autoFilter>
  <dataValidations count="3">
    <dataValidation type="list" allowBlank="1" showInputMessage="1" prompt="请选择 1-5 分" sqref="C2:C200">
      <formula1>"1,2,3,4,5"</formula1>
    </dataValidation>
    <dataValidation type="list" allowBlank="1" showInputMessage="1" prompt="请选择评分信心" sqref="D2:D200">
      <formula1>"1.0,0.9,0.8,0.7,0.6,0.5,0.4"</formula1>
    </dataValidation>
    <dataValidation type="list" allowBlank="1" showInputMessage="1" prompt="0=否，1=是" sqref="E2:E200">
      <formula1>"0,1"</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评分说明</vt:lpstr>
      <vt:lpstr>待评文本样本</vt:lpstr>
      <vt:lpstr>文本评分表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譚麗</cp:lastModifiedBy>
  <dcterms:created xsi:type="dcterms:W3CDTF">2026-04-26T02:45:00Z</dcterms:created>
  <dcterms:modified xsi:type="dcterms:W3CDTF">2026-04-26T02:53:37Z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336084B319C849A38E418AAFF069F528_12</vt:lpwstr>
  </property>
  <property fmtid="{D5CDD505-2E9C-101B-9397-08002B2CF9AE}" pid="3" name="KSOProductBuildVer">
    <vt:lpwstr>2052-12.1.0.25225</vt:lpwstr>
  </property>
  <property fmtid="{D5CDD505-2E9C-101B-9397-08002B2CF9AE}" pid="4" name="CalculationRule">
    <vt:i4>0</vt:i4>
  </property>
</Properties>
</file>